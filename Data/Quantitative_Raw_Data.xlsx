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ujaysin/Desktop/"/>
    </mc:Choice>
  </mc:AlternateContent>
  <xr:revisionPtr revIDLastSave="0" documentId="13_ncr:1_{BE65BDFB-74D4-624F-B923-61E493F3E9A3}" xr6:coauthVersionLast="47" xr6:coauthVersionMax="47" xr10:uidLastSave="{00000000-0000-0000-0000-000000000000}"/>
  <bookViews>
    <workbookView xWindow="2000" yWindow="880" windowWidth="28240" windowHeight="17240" xr2:uid="{C0267549-ACAE-6E42-939B-958B7DC470D4}"/>
  </bookViews>
  <sheets>
    <sheet name="NASA TLX" sheetId="1" r:id="rId1"/>
    <sheet name="S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W3" i="1"/>
  <c r="W4" i="1"/>
  <c r="W5" i="1"/>
  <c r="W6" i="1"/>
  <c r="W7" i="1"/>
  <c r="X2" i="1"/>
  <c r="W2" i="1"/>
  <c r="Q9" i="1"/>
  <c r="R9" i="1"/>
  <c r="S9" i="1"/>
  <c r="T9" i="1"/>
  <c r="U9" i="1"/>
  <c r="J9" i="1"/>
  <c r="K9" i="1"/>
  <c r="L9" i="1"/>
  <c r="B10" i="1" s="1"/>
  <c r="M9" i="1"/>
  <c r="N9" i="1"/>
  <c r="O9" i="1"/>
  <c r="P9" i="1"/>
  <c r="C9" i="1"/>
  <c r="D9" i="1"/>
  <c r="E9" i="1"/>
  <c r="B11" i="1" s="1"/>
  <c r="F9" i="1"/>
  <c r="G9" i="1"/>
  <c r="H9" i="1"/>
  <c r="I9" i="1"/>
  <c r="B9" i="1"/>
  <c r="R13" i="2"/>
  <c r="S13" i="2"/>
  <c r="T13" i="2"/>
  <c r="U13" i="2"/>
  <c r="N13" i="2"/>
  <c r="O13" i="2"/>
  <c r="P13" i="2"/>
  <c r="Q13" i="2"/>
  <c r="I13" i="2"/>
  <c r="J13" i="2"/>
  <c r="K13" i="2"/>
  <c r="L13" i="2"/>
  <c r="M13" i="2"/>
  <c r="C13" i="2"/>
  <c r="B15" i="2" s="1"/>
  <c r="D13" i="2"/>
  <c r="E13" i="2"/>
  <c r="F13" i="2"/>
  <c r="G13" i="2"/>
  <c r="H13" i="2"/>
  <c r="B13" i="2"/>
  <c r="B14" i="2" s="1"/>
</calcChain>
</file>

<file path=xl/sharedStrings.xml><?xml version="1.0" encoding="utf-8"?>
<sst xmlns="http://schemas.openxmlformats.org/spreadsheetml/2006/main" count="73" uniqueCount="27">
  <si>
    <t>Mental Demand
How much mental and perceptual activity was required? Was the task easy or demanding, simple or complex?</t>
    <phoneticPr fontId="1" type="noConversion"/>
  </si>
  <si>
    <t>Physical Demand
How much physical activity was required? Was the task easy or demanding, slack or strenuous?</t>
    <phoneticPr fontId="1" type="noConversion"/>
  </si>
  <si>
    <t>Temporal Demand
How much time pressure did you feel due to the pace at which the tasks or task elements occurred?
Was the pace slow or rapid?</t>
    <phoneticPr fontId="1" type="noConversion"/>
  </si>
  <si>
    <t>Own Performance
How successful were you in performing the task? How satisfied were you with your performance?</t>
    <phoneticPr fontId="1" type="noConversion"/>
  </si>
  <si>
    <t>Effort
How hard did you have to work (mentally and physically) to accomplish your level of performance?</t>
    <phoneticPr fontId="1" type="noConversion"/>
  </si>
  <si>
    <t>Frustration Level
How irritated, stressed, and annoyed versus content, relaxed, and complacent did you feel during the task?</t>
    <phoneticPr fontId="1" type="noConversion"/>
  </si>
  <si>
    <t>75 </t>
  </si>
  <si>
    <t>50 </t>
  </si>
  <si>
    <t>25 </t>
  </si>
  <si>
    <t>20 </t>
  </si>
  <si>
    <t>I found the system unnecessarily complex.</t>
    <phoneticPr fontId="1" type="noConversion"/>
  </si>
  <si>
    <t>I think that I would like to use this system frequently.</t>
    <phoneticPr fontId="1" type="noConversion"/>
  </si>
  <si>
    <t>I thought the system was easy to use.</t>
    <phoneticPr fontId="1" type="noConversion"/>
  </si>
  <si>
    <t>I think that I would need the support of a technical person to be able to use this system.</t>
    <phoneticPr fontId="1" type="noConversion"/>
  </si>
  <si>
    <t>I found the various functions in this system were well integrated.</t>
    <phoneticPr fontId="1" type="noConversion"/>
  </si>
  <si>
    <t>I thought there was too much inconsistency in this system.</t>
    <phoneticPr fontId="1" type="noConversion"/>
  </si>
  <si>
    <t>I would imagine that most people would learn to use this system very quickly.</t>
    <phoneticPr fontId="1" type="noConversion"/>
  </si>
  <si>
    <t>I found the system very cumbersome to use.</t>
    <phoneticPr fontId="1" type="noConversion"/>
  </si>
  <si>
    <t>I felt very confident using the system.</t>
    <phoneticPr fontId="1" type="noConversion"/>
  </si>
  <si>
    <t>I needed to learn a lot of things before I could get going with this system.</t>
    <phoneticPr fontId="1" type="noConversion"/>
  </si>
  <si>
    <t>Questions</t>
    <phoneticPr fontId="1" type="noConversion"/>
  </si>
  <si>
    <t>L1</t>
    <phoneticPr fontId="1" type="noConversion"/>
  </si>
  <si>
    <t>L2</t>
    <phoneticPr fontId="1" type="noConversion"/>
  </si>
  <si>
    <t>40 </t>
    <phoneticPr fontId="1" type="noConversion"/>
  </si>
  <si>
    <t>AVERAGE</t>
    <phoneticPr fontId="1" type="noConversion"/>
  </si>
  <si>
    <t>L1 AVERAGE</t>
    <phoneticPr fontId="1" type="noConversion"/>
  </si>
  <si>
    <t>L2 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</si>
</sst>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ptos Narrow"/>
    </font>
    <font>
      <sz val="15"/>
      <color theme="1"/>
      <name val="Aptos Narrow"/>
    </font>
    <font>
      <sz val="15"/>
      <color theme="1"/>
      <name val="Helvetica Neue"/>
      <family val="2"/>
    </font>
    <font>
      <b/>
      <sz val="15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B9AD-7EC3-A24C-A7DB-1FAF05A59F3D}">
  <dimension ref="A1:X11"/>
  <sheetViews>
    <sheetView tabSelected="1" zoomScale="114" workbookViewId="0">
      <selection activeCell="B8" sqref="B8"/>
    </sheetView>
  </sheetViews>
  <sheetFormatPr baseColWidth="10" defaultRowHeight="20"/>
  <cols>
    <col min="1" max="1" width="58" style="7" customWidth="1"/>
    <col min="2" max="20" width="10.83203125" style="3"/>
    <col min="21" max="21" width="10.83203125" style="5"/>
    <col min="22" max="22" width="10.83203125" style="3"/>
    <col min="23" max="23" width="23" style="5" customWidth="1"/>
    <col min="24" max="24" width="21" style="5" customWidth="1"/>
    <col min="25" max="16384" width="10.83203125" style="3"/>
  </cols>
  <sheetData>
    <row r="1" spans="1:24" s="5" customFormat="1">
      <c r="A1" s="5" t="s">
        <v>20</v>
      </c>
      <c r="B1" s="5" t="s">
        <v>21</v>
      </c>
      <c r="C1" s="5" t="s">
        <v>22</v>
      </c>
      <c r="D1" s="5" t="s">
        <v>21</v>
      </c>
      <c r="E1" s="5" t="s">
        <v>22</v>
      </c>
      <c r="F1" s="5" t="s">
        <v>21</v>
      </c>
      <c r="G1" s="5" t="s">
        <v>22</v>
      </c>
      <c r="H1" s="5" t="s">
        <v>21</v>
      </c>
      <c r="I1" s="5" t="s">
        <v>22</v>
      </c>
      <c r="J1" s="5" t="s">
        <v>21</v>
      </c>
      <c r="K1" s="5" t="s">
        <v>22</v>
      </c>
      <c r="L1" s="5" t="s">
        <v>21</v>
      </c>
      <c r="M1" s="5" t="s">
        <v>22</v>
      </c>
      <c r="N1" s="5" t="s">
        <v>21</v>
      </c>
      <c r="O1" s="5" t="s">
        <v>22</v>
      </c>
      <c r="P1" s="5" t="s">
        <v>21</v>
      </c>
      <c r="Q1" s="5" t="s">
        <v>22</v>
      </c>
      <c r="R1" s="5" t="s">
        <v>21</v>
      </c>
      <c r="S1" s="5" t="s">
        <v>22</v>
      </c>
      <c r="T1" s="5" t="s">
        <v>21</v>
      </c>
      <c r="U1" s="5" t="s">
        <v>22</v>
      </c>
      <c r="W1" s="8" t="s">
        <v>25</v>
      </c>
      <c r="X1" s="8" t="s">
        <v>26</v>
      </c>
    </row>
    <row r="2" spans="1:24" ht="63">
      <c r="A2" s="4" t="s">
        <v>0</v>
      </c>
      <c r="B2" s="5">
        <v>40</v>
      </c>
      <c r="C2" s="5">
        <v>70</v>
      </c>
      <c r="D2" s="5">
        <v>5</v>
      </c>
      <c r="E2" s="5">
        <v>20</v>
      </c>
      <c r="F2" s="5">
        <v>50</v>
      </c>
      <c r="G2" s="5">
        <v>65</v>
      </c>
      <c r="H2" s="5">
        <v>20</v>
      </c>
      <c r="I2" s="5">
        <v>30</v>
      </c>
      <c r="J2" s="5" t="s">
        <v>6</v>
      </c>
      <c r="K2" s="5">
        <v>85</v>
      </c>
      <c r="L2" s="5">
        <v>10</v>
      </c>
      <c r="M2" s="5">
        <v>30</v>
      </c>
      <c r="N2" s="5" t="s">
        <v>7</v>
      </c>
      <c r="O2" s="5">
        <v>65</v>
      </c>
      <c r="P2" s="5">
        <v>60</v>
      </c>
      <c r="Q2" s="5">
        <v>80</v>
      </c>
      <c r="R2" s="6">
        <v>65</v>
      </c>
      <c r="S2" s="6">
        <v>85</v>
      </c>
      <c r="T2" s="5">
        <v>50</v>
      </c>
      <c r="U2" s="5">
        <v>60</v>
      </c>
      <c r="W2" s="5">
        <f>AVERAGE(B2,D2,F2,H2,J2,L2,N2,P2,R2,T2)</f>
        <v>37.5</v>
      </c>
      <c r="X2" s="5">
        <f>AVERAGE(C2,E2,G2,I2,K2,M2,O2,Q2,S2,U2)</f>
        <v>59</v>
      </c>
    </row>
    <row r="3" spans="1:24" ht="63">
      <c r="A3" s="4" t="s">
        <v>1</v>
      </c>
      <c r="B3" s="5">
        <v>10</v>
      </c>
      <c r="C3" s="5">
        <v>30</v>
      </c>
      <c r="D3" s="5">
        <v>5</v>
      </c>
      <c r="E3" s="5">
        <v>30</v>
      </c>
      <c r="F3" s="5">
        <v>5</v>
      </c>
      <c r="G3" s="5">
        <v>30</v>
      </c>
      <c r="H3" s="5">
        <v>15</v>
      </c>
      <c r="I3" s="5">
        <v>30</v>
      </c>
      <c r="J3" s="5">
        <v>50</v>
      </c>
      <c r="K3" s="5">
        <v>65</v>
      </c>
      <c r="L3" s="5">
        <v>25</v>
      </c>
      <c r="M3" s="5">
        <v>40</v>
      </c>
      <c r="N3" s="5" t="s">
        <v>7</v>
      </c>
      <c r="O3" s="5">
        <v>65</v>
      </c>
      <c r="P3" s="5" t="s">
        <v>9</v>
      </c>
      <c r="Q3" s="5">
        <v>30</v>
      </c>
      <c r="R3" s="6">
        <v>30</v>
      </c>
      <c r="S3" s="6">
        <v>60</v>
      </c>
      <c r="T3" s="5">
        <v>20</v>
      </c>
      <c r="U3" s="5">
        <v>30</v>
      </c>
      <c r="W3" s="5">
        <f t="shared" ref="W3:W7" si="0">AVERAGE(B3,D3,F3,H3,J3,L3,N3,P3,R3,T3)</f>
        <v>20</v>
      </c>
      <c r="X3" s="5">
        <f t="shared" ref="X3:X7" si="1">AVERAGE(C3,E3,G3,I3,K3,M3,O3,Q3,S3,U3)</f>
        <v>41</v>
      </c>
    </row>
    <row r="4" spans="1:24" ht="84">
      <c r="A4" s="4" t="s">
        <v>2</v>
      </c>
      <c r="B4" s="5">
        <v>10</v>
      </c>
      <c r="C4" s="5">
        <v>60</v>
      </c>
      <c r="D4" s="5">
        <v>65</v>
      </c>
      <c r="E4" s="5">
        <v>75</v>
      </c>
      <c r="F4" s="5">
        <v>50</v>
      </c>
      <c r="G4" s="5">
        <v>60</v>
      </c>
      <c r="H4" s="5">
        <v>15</v>
      </c>
      <c r="I4" s="5">
        <v>35</v>
      </c>
      <c r="J4" s="5" t="s">
        <v>7</v>
      </c>
      <c r="K4" s="5">
        <v>75</v>
      </c>
      <c r="L4" s="5">
        <v>30</v>
      </c>
      <c r="M4" s="5">
        <v>60</v>
      </c>
      <c r="N4" s="5" t="s">
        <v>8</v>
      </c>
      <c r="O4" s="5">
        <v>50</v>
      </c>
      <c r="P4" s="5">
        <v>10</v>
      </c>
      <c r="Q4" s="5">
        <v>30</v>
      </c>
      <c r="R4" s="6">
        <v>35</v>
      </c>
      <c r="S4" s="6">
        <v>50</v>
      </c>
      <c r="T4" s="5">
        <v>70</v>
      </c>
      <c r="U4" s="5">
        <v>85</v>
      </c>
      <c r="W4" s="5">
        <f t="shared" si="0"/>
        <v>35.625</v>
      </c>
      <c r="X4" s="5">
        <f t="shared" si="1"/>
        <v>58</v>
      </c>
    </row>
    <row r="5" spans="1:24" ht="63">
      <c r="A5" s="4" t="s">
        <v>3</v>
      </c>
      <c r="B5" s="5">
        <v>80</v>
      </c>
      <c r="C5" s="5">
        <v>50</v>
      </c>
      <c r="D5" s="5">
        <v>75</v>
      </c>
      <c r="E5" s="5">
        <v>50</v>
      </c>
      <c r="F5" s="5">
        <v>75</v>
      </c>
      <c r="G5" s="5">
        <v>40</v>
      </c>
      <c r="H5" s="5">
        <v>85</v>
      </c>
      <c r="I5" s="5">
        <v>70</v>
      </c>
      <c r="J5" s="5">
        <v>90</v>
      </c>
      <c r="K5" s="5">
        <v>60</v>
      </c>
      <c r="L5" s="5">
        <v>80</v>
      </c>
      <c r="M5" s="5">
        <v>30</v>
      </c>
      <c r="N5" s="5" t="s">
        <v>23</v>
      </c>
      <c r="O5" s="5">
        <v>50</v>
      </c>
      <c r="P5" s="5">
        <v>70</v>
      </c>
      <c r="Q5" s="5">
        <v>30</v>
      </c>
      <c r="R5" s="6">
        <v>70</v>
      </c>
      <c r="S5" s="6">
        <v>20</v>
      </c>
      <c r="T5" s="5">
        <v>80</v>
      </c>
      <c r="U5" s="5">
        <v>40</v>
      </c>
      <c r="W5" s="5">
        <f t="shared" si="0"/>
        <v>78.333333333333329</v>
      </c>
      <c r="X5" s="5">
        <f t="shared" si="1"/>
        <v>44</v>
      </c>
    </row>
    <row r="6" spans="1:24" ht="63">
      <c r="A6" s="4" t="s">
        <v>4</v>
      </c>
      <c r="B6" s="5">
        <v>20</v>
      </c>
      <c r="C6" s="5">
        <v>70</v>
      </c>
      <c r="D6" s="5">
        <v>15</v>
      </c>
      <c r="E6" s="5">
        <v>50</v>
      </c>
      <c r="F6" s="5">
        <v>75</v>
      </c>
      <c r="G6" s="5">
        <v>60</v>
      </c>
      <c r="H6" s="5">
        <v>15</v>
      </c>
      <c r="I6" s="5">
        <v>30</v>
      </c>
      <c r="J6" s="5">
        <v>45</v>
      </c>
      <c r="K6" s="5">
        <v>70</v>
      </c>
      <c r="L6" s="5">
        <v>25</v>
      </c>
      <c r="M6" s="5">
        <v>60</v>
      </c>
      <c r="N6" s="5">
        <v>75</v>
      </c>
      <c r="O6" s="5">
        <v>80</v>
      </c>
      <c r="P6" s="5">
        <v>50</v>
      </c>
      <c r="Q6" s="5">
        <v>70</v>
      </c>
      <c r="R6" s="6">
        <v>55</v>
      </c>
      <c r="S6" s="6">
        <v>75</v>
      </c>
      <c r="T6" s="5">
        <v>30</v>
      </c>
      <c r="U6" s="5">
        <v>50</v>
      </c>
      <c r="W6" s="5">
        <f t="shared" si="0"/>
        <v>40.5</v>
      </c>
      <c r="X6" s="5">
        <f t="shared" si="1"/>
        <v>61.5</v>
      </c>
    </row>
    <row r="7" spans="1:24" ht="63">
      <c r="A7" s="4" t="s">
        <v>5</v>
      </c>
      <c r="B7" s="5">
        <v>10</v>
      </c>
      <c r="C7" s="5">
        <v>70</v>
      </c>
      <c r="D7" s="5">
        <v>5</v>
      </c>
      <c r="E7" s="5">
        <v>50</v>
      </c>
      <c r="F7" s="5">
        <v>25</v>
      </c>
      <c r="G7" s="5">
        <v>35</v>
      </c>
      <c r="H7" s="5">
        <v>15</v>
      </c>
      <c r="I7" s="5">
        <v>20</v>
      </c>
      <c r="J7" s="5">
        <v>20</v>
      </c>
      <c r="K7" s="5">
        <v>50</v>
      </c>
      <c r="L7" s="5">
        <v>25</v>
      </c>
      <c r="M7" s="5">
        <v>60</v>
      </c>
      <c r="N7" s="5">
        <v>15</v>
      </c>
      <c r="O7" s="5">
        <v>30</v>
      </c>
      <c r="P7" s="5">
        <v>50</v>
      </c>
      <c r="Q7" s="5">
        <v>70</v>
      </c>
      <c r="R7" s="6">
        <v>50</v>
      </c>
      <c r="S7" s="6">
        <v>75</v>
      </c>
      <c r="T7" s="5">
        <v>40</v>
      </c>
      <c r="U7" s="5">
        <v>50</v>
      </c>
      <c r="W7" s="5">
        <f t="shared" si="0"/>
        <v>25.5</v>
      </c>
      <c r="X7" s="5">
        <f t="shared" si="1"/>
        <v>51</v>
      </c>
    </row>
    <row r="9" spans="1:24" s="5" customFormat="1">
      <c r="A9" s="8" t="s">
        <v>24</v>
      </c>
      <c r="B9" s="5">
        <f>AVERAGE(B2:B7)</f>
        <v>28.333333333333332</v>
      </c>
      <c r="C9" s="5">
        <f t="shared" ref="C9:U9" si="2">AVERAGE(C2:C7)</f>
        <v>58.333333333333336</v>
      </c>
      <c r="D9" s="5">
        <f t="shared" si="2"/>
        <v>28.333333333333332</v>
      </c>
      <c r="E9" s="5">
        <f t="shared" si="2"/>
        <v>45.833333333333336</v>
      </c>
      <c r="F9" s="5">
        <f t="shared" si="2"/>
        <v>46.666666666666664</v>
      </c>
      <c r="G9" s="5">
        <f t="shared" si="2"/>
        <v>48.333333333333336</v>
      </c>
      <c r="H9" s="5">
        <f t="shared" si="2"/>
        <v>27.5</v>
      </c>
      <c r="I9" s="5">
        <f t="shared" si="2"/>
        <v>35.833333333333336</v>
      </c>
      <c r="J9" s="5">
        <f>AVERAGE(J2:J7)</f>
        <v>51.25</v>
      </c>
      <c r="K9" s="5">
        <f t="shared" si="2"/>
        <v>67.5</v>
      </c>
      <c r="L9" s="5">
        <f t="shared" si="2"/>
        <v>32.5</v>
      </c>
      <c r="M9" s="5">
        <f t="shared" si="2"/>
        <v>46.666666666666664</v>
      </c>
      <c r="N9" s="5">
        <f t="shared" si="2"/>
        <v>45</v>
      </c>
      <c r="O9" s="5">
        <f t="shared" si="2"/>
        <v>56.666666666666664</v>
      </c>
      <c r="P9" s="5">
        <f t="shared" si="2"/>
        <v>48</v>
      </c>
      <c r="Q9" s="5">
        <f>AVERAGE(Q2:Q7)</f>
        <v>51.666666666666664</v>
      </c>
      <c r="R9" s="5">
        <f t="shared" si="2"/>
        <v>50.833333333333336</v>
      </c>
      <c r="S9" s="5">
        <f t="shared" si="2"/>
        <v>60.833333333333336</v>
      </c>
      <c r="T9" s="5">
        <f t="shared" si="2"/>
        <v>48.333333333333336</v>
      </c>
      <c r="U9" s="5">
        <f t="shared" si="2"/>
        <v>52.5</v>
      </c>
    </row>
    <row r="10" spans="1:24">
      <c r="A10" s="8" t="s">
        <v>25</v>
      </c>
      <c r="B10" s="5">
        <f>AVERAGE(B9,D9,F9,H9,J9,L9,N9,P9,R9,T9)</f>
        <v>40.674999999999997</v>
      </c>
    </row>
    <row r="11" spans="1:24">
      <c r="A11" s="8" t="s">
        <v>26</v>
      </c>
      <c r="B11" s="3">
        <f>AVERAGE(C9,E9,G9,I9,K9,M9,O9,Q9,S9,U9)</f>
        <v>52.416666666666671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5E6A-604D-9D4C-9680-E351EEDB9FCA}">
  <dimension ref="A1:U15"/>
  <sheetViews>
    <sheetView workbookViewId="0">
      <selection activeCell="A22" sqref="A22"/>
    </sheetView>
  </sheetViews>
  <sheetFormatPr baseColWidth="10" defaultRowHeight="20"/>
  <cols>
    <col min="1" max="1" width="90" style="1" customWidth="1"/>
    <col min="2" max="19" width="10.83203125" style="2"/>
    <col min="20" max="21" width="10.83203125" style="5"/>
    <col min="22" max="16384" width="10.83203125" style="1"/>
  </cols>
  <sheetData>
    <row r="1" spans="1:21" s="2" customFormat="1">
      <c r="A1" s="5" t="s">
        <v>20</v>
      </c>
      <c r="B1" s="5" t="s">
        <v>21</v>
      </c>
      <c r="C1" s="5" t="s">
        <v>22</v>
      </c>
      <c r="D1" s="5" t="s">
        <v>21</v>
      </c>
      <c r="E1" s="5" t="s">
        <v>22</v>
      </c>
      <c r="F1" s="5" t="s">
        <v>21</v>
      </c>
      <c r="G1" s="5" t="s">
        <v>22</v>
      </c>
      <c r="H1" s="5" t="s">
        <v>21</v>
      </c>
      <c r="I1" s="5" t="s">
        <v>22</v>
      </c>
      <c r="J1" s="5" t="s">
        <v>21</v>
      </c>
      <c r="K1" s="5" t="s">
        <v>22</v>
      </c>
      <c r="L1" s="5" t="s">
        <v>21</v>
      </c>
      <c r="M1" s="5" t="s">
        <v>22</v>
      </c>
      <c r="N1" s="5" t="s">
        <v>21</v>
      </c>
      <c r="O1" s="5" t="s">
        <v>22</v>
      </c>
      <c r="P1" s="5" t="s">
        <v>21</v>
      </c>
      <c r="Q1" s="5" t="s">
        <v>22</v>
      </c>
      <c r="R1" s="5" t="s">
        <v>21</v>
      </c>
      <c r="S1" s="5" t="s">
        <v>22</v>
      </c>
      <c r="T1" s="5" t="s">
        <v>21</v>
      </c>
      <c r="U1" s="5" t="s">
        <v>22</v>
      </c>
    </row>
    <row r="2" spans="1:21">
      <c r="A2" s="3" t="s">
        <v>11</v>
      </c>
      <c r="B2" s="5">
        <v>5</v>
      </c>
      <c r="C2" s="5">
        <v>3</v>
      </c>
      <c r="D2" s="5">
        <v>3</v>
      </c>
      <c r="E2" s="5">
        <v>2</v>
      </c>
      <c r="F2" s="5">
        <v>3</v>
      </c>
      <c r="G2" s="5">
        <v>2</v>
      </c>
      <c r="H2" s="5">
        <v>3</v>
      </c>
      <c r="I2" s="5">
        <v>3</v>
      </c>
      <c r="J2" s="5">
        <v>4</v>
      </c>
      <c r="K2" s="5">
        <v>2</v>
      </c>
      <c r="L2" s="5">
        <v>2</v>
      </c>
      <c r="M2" s="5">
        <v>2</v>
      </c>
      <c r="N2" s="5">
        <v>4</v>
      </c>
      <c r="O2" s="5">
        <v>4</v>
      </c>
      <c r="P2" s="5">
        <v>4</v>
      </c>
      <c r="Q2" s="5">
        <v>3</v>
      </c>
      <c r="R2" s="5">
        <v>4</v>
      </c>
      <c r="S2" s="5">
        <v>4</v>
      </c>
      <c r="T2" s="5">
        <v>3</v>
      </c>
      <c r="U2" s="5">
        <v>3</v>
      </c>
    </row>
    <row r="3" spans="1:21">
      <c r="A3" s="3" t="s">
        <v>10</v>
      </c>
      <c r="B3" s="5">
        <v>1</v>
      </c>
      <c r="C3" s="5">
        <v>2</v>
      </c>
      <c r="D3" s="5">
        <v>1</v>
      </c>
      <c r="E3" s="5">
        <v>2</v>
      </c>
      <c r="F3" s="5">
        <v>2</v>
      </c>
      <c r="G3" s="5">
        <v>4</v>
      </c>
      <c r="H3" s="5">
        <v>2</v>
      </c>
      <c r="I3" s="5">
        <v>3</v>
      </c>
      <c r="J3" s="5">
        <v>2</v>
      </c>
      <c r="K3" s="5">
        <v>3</v>
      </c>
      <c r="L3" s="5">
        <v>2</v>
      </c>
      <c r="M3" s="5">
        <v>3</v>
      </c>
      <c r="N3" s="5">
        <v>3</v>
      </c>
      <c r="O3" s="5">
        <v>3</v>
      </c>
      <c r="P3" s="5">
        <v>1</v>
      </c>
      <c r="Q3" s="5">
        <v>3</v>
      </c>
      <c r="R3" s="5">
        <v>1</v>
      </c>
      <c r="S3" s="5">
        <v>2</v>
      </c>
      <c r="T3" s="5">
        <v>3</v>
      </c>
      <c r="U3" s="5">
        <v>4</v>
      </c>
    </row>
    <row r="4" spans="1:21">
      <c r="A4" s="3" t="s">
        <v>12</v>
      </c>
      <c r="B4" s="5">
        <v>4</v>
      </c>
      <c r="C4" s="5">
        <v>2</v>
      </c>
      <c r="D4" s="5">
        <v>4</v>
      </c>
      <c r="E4" s="5">
        <v>3</v>
      </c>
      <c r="F4" s="5">
        <v>4</v>
      </c>
      <c r="G4" s="5">
        <v>3</v>
      </c>
      <c r="H4" s="5">
        <v>4</v>
      </c>
      <c r="I4" s="5">
        <v>3</v>
      </c>
      <c r="J4" s="5">
        <v>4</v>
      </c>
      <c r="K4" s="5">
        <v>2</v>
      </c>
      <c r="L4" s="5">
        <v>5</v>
      </c>
      <c r="M4" s="5">
        <v>4</v>
      </c>
      <c r="N4" s="5">
        <v>3</v>
      </c>
      <c r="O4" s="5">
        <v>2</v>
      </c>
      <c r="P4" s="5">
        <v>4</v>
      </c>
      <c r="Q4" s="5">
        <v>3</v>
      </c>
      <c r="R4" s="5">
        <v>4</v>
      </c>
      <c r="S4" s="5">
        <v>4</v>
      </c>
      <c r="T4" s="5">
        <v>3</v>
      </c>
      <c r="U4" s="5">
        <v>2</v>
      </c>
    </row>
    <row r="5" spans="1:21">
      <c r="A5" s="3" t="s">
        <v>13</v>
      </c>
      <c r="B5" s="5">
        <v>2</v>
      </c>
      <c r="C5" s="5">
        <v>3</v>
      </c>
      <c r="D5" s="5">
        <v>1</v>
      </c>
      <c r="E5" s="5">
        <v>3</v>
      </c>
      <c r="F5" s="5">
        <v>2</v>
      </c>
      <c r="G5" s="5">
        <v>3</v>
      </c>
      <c r="H5" s="5">
        <v>2</v>
      </c>
      <c r="I5" s="5">
        <v>3</v>
      </c>
      <c r="J5" s="5">
        <v>3</v>
      </c>
      <c r="K5" s="5">
        <v>3</v>
      </c>
      <c r="L5" s="5">
        <v>2</v>
      </c>
      <c r="M5" s="5">
        <v>3</v>
      </c>
      <c r="N5" s="5">
        <v>3</v>
      </c>
      <c r="O5" s="5">
        <v>3</v>
      </c>
      <c r="P5" s="5">
        <v>1</v>
      </c>
      <c r="Q5" s="5">
        <v>2</v>
      </c>
      <c r="R5" s="5">
        <v>1</v>
      </c>
      <c r="S5" s="5">
        <v>1</v>
      </c>
      <c r="T5" s="5">
        <v>3</v>
      </c>
      <c r="U5" s="5">
        <v>4</v>
      </c>
    </row>
    <row r="6" spans="1:21">
      <c r="A6" s="3" t="s">
        <v>14</v>
      </c>
      <c r="B6" s="5">
        <v>4</v>
      </c>
      <c r="C6" s="5">
        <v>3</v>
      </c>
      <c r="D6" s="5">
        <v>3</v>
      </c>
      <c r="E6" s="5">
        <v>3</v>
      </c>
      <c r="F6" s="5">
        <v>4</v>
      </c>
      <c r="G6" s="5">
        <v>3</v>
      </c>
      <c r="H6" s="5">
        <v>3</v>
      </c>
      <c r="I6" s="5">
        <v>2</v>
      </c>
      <c r="J6" s="5">
        <v>4</v>
      </c>
      <c r="K6" s="5">
        <v>3</v>
      </c>
      <c r="L6" s="5">
        <v>3</v>
      </c>
      <c r="M6" s="5">
        <v>3</v>
      </c>
      <c r="N6" s="5">
        <v>4</v>
      </c>
      <c r="O6" s="5">
        <v>4</v>
      </c>
      <c r="P6" s="5">
        <v>3</v>
      </c>
      <c r="Q6" s="5">
        <v>3</v>
      </c>
      <c r="R6" s="5">
        <v>3</v>
      </c>
      <c r="S6" s="5">
        <v>3</v>
      </c>
      <c r="T6" s="5">
        <v>3</v>
      </c>
      <c r="U6" s="5">
        <v>3</v>
      </c>
    </row>
    <row r="7" spans="1:21">
      <c r="A7" s="3" t="s">
        <v>15</v>
      </c>
      <c r="B7" s="5">
        <v>1</v>
      </c>
      <c r="C7" s="5">
        <v>2</v>
      </c>
      <c r="D7" s="5">
        <v>2</v>
      </c>
      <c r="E7" s="5">
        <v>2</v>
      </c>
      <c r="F7" s="5">
        <v>3</v>
      </c>
      <c r="G7" s="5">
        <v>3</v>
      </c>
      <c r="H7" s="5">
        <v>2</v>
      </c>
      <c r="I7" s="5">
        <v>3</v>
      </c>
      <c r="J7" s="5">
        <v>1</v>
      </c>
      <c r="K7" s="5">
        <v>2</v>
      </c>
      <c r="L7" s="5">
        <v>1</v>
      </c>
      <c r="M7" s="5">
        <v>1</v>
      </c>
      <c r="N7" s="5">
        <v>3</v>
      </c>
      <c r="O7" s="5">
        <v>3</v>
      </c>
      <c r="P7" s="5">
        <v>1</v>
      </c>
      <c r="Q7" s="5">
        <v>2</v>
      </c>
      <c r="R7" s="5">
        <v>1</v>
      </c>
      <c r="S7" s="5">
        <v>1</v>
      </c>
      <c r="T7" s="5">
        <v>2</v>
      </c>
      <c r="U7" s="5">
        <v>2</v>
      </c>
    </row>
    <row r="8" spans="1:21">
      <c r="A8" s="3" t="s">
        <v>16</v>
      </c>
      <c r="B8" s="5">
        <v>5</v>
      </c>
      <c r="C8" s="5">
        <v>3</v>
      </c>
      <c r="D8" s="5">
        <v>5</v>
      </c>
      <c r="E8" s="5">
        <v>3</v>
      </c>
      <c r="F8" s="5">
        <v>5</v>
      </c>
      <c r="G8" s="5">
        <v>3</v>
      </c>
      <c r="H8" s="5">
        <v>4</v>
      </c>
      <c r="I8" s="5">
        <v>2</v>
      </c>
      <c r="J8" s="5">
        <v>3</v>
      </c>
      <c r="K8" s="5">
        <v>3</v>
      </c>
      <c r="L8" s="5">
        <v>5</v>
      </c>
      <c r="M8" s="5">
        <v>4</v>
      </c>
      <c r="N8" s="5">
        <v>4</v>
      </c>
      <c r="O8" s="5">
        <v>3</v>
      </c>
      <c r="P8" s="5">
        <v>5</v>
      </c>
      <c r="Q8" s="5">
        <v>3</v>
      </c>
      <c r="R8" s="5">
        <v>5</v>
      </c>
      <c r="S8" s="5">
        <v>4</v>
      </c>
      <c r="T8" s="5">
        <v>3</v>
      </c>
      <c r="U8" s="5">
        <v>3</v>
      </c>
    </row>
    <row r="9" spans="1:21">
      <c r="A9" s="3" t="s">
        <v>17</v>
      </c>
      <c r="B9" s="5">
        <v>1</v>
      </c>
      <c r="C9" s="5">
        <v>2</v>
      </c>
      <c r="D9" s="5">
        <v>2</v>
      </c>
      <c r="E9" s="5">
        <v>3</v>
      </c>
      <c r="F9" s="5">
        <v>3</v>
      </c>
      <c r="G9" s="5">
        <v>3</v>
      </c>
      <c r="H9" s="5">
        <v>2</v>
      </c>
      <c r="I9" s="5">
        <v>3</v>
      </c>
      <c r="J9" s="5">
        <v>2</v>
      </c>
      <c r="K9" s="5">
        <v>3</v>
      </c>
      <c r="L9" s="5">
        <v>3</v>
      </c>
      <c r="M9" s="5">
        <v>3</v>
      </c>
      <c r="N9" s="5">
        <v>2</v>
      </c>
      <c r="O9" s="5">
        <v>2</v>
      </c>
      <c r="P9" s="5">
        <v>1</v>
      </c>
      <c r="Q9" s="5">
        <v>2</v>
      </c>
      <c r="R9" s="5">
        <v>1</v>
      </c>
      <c r="S9" s="5">
        <v>1</v>
      </c>
      <c r="T9" s="5">
        <v>3</v>
      </c>
      <c r="U9" s="5">
        <v>3</v>
      </c>
    </row>
    <row r="10" spans="1:21">
      <c r="A10" s="3" t="s">
        <v>18</v>
      </c>
      <c r="B10" s="5">
        <v>4</v>
      </c>
      <c r="C10" s="5">
        <v>2</v>
      </c>
      <c r="D10" s="5">
        <v>4</v>
      </c>
      <c r="E10" s="5">
        <v>2</v>
      </c>
      <c r="F10" s="5">
        <v>4</v>
      </c>
      <c r="G10" s="5">
        <v>3</v>
      </c>
      <c r="H10" s="5">
        <v>4</v>
      </c>
      <c r="I10" s="5">
        <v>3</v>
      </c>
      <c r="J10" s="5">
        <v>4</v>
      </c>
      <c r="K10" s="5">
        <v>3</v>
      </c>
      <c r="L10" s="5">
        <v>5</v>
      </c>
      <c r="M10" s="5">
        <v>4</v>
      </c>
      <c r="N10" s="5">
        <v>3</v>
      </c>
      <c r="O10" s="5">
        <v>3</v>
      </c>
      <c r="P10" s="5">
        <v>4</v>
      </c>
      <c r="Q10" s="5">
        <v>3</v>
      </c>
      <c r="R10" s="5">
        <v>5</v>
      </c>
      <c r="S10" s="5">
        <v>4</v>
      </c>
      <c r="T10" s="5">
        <v>4</v>
      </c>
      <c r="U10" s="5">
        <v>3</v>
      </c>
    </row>
    <row r="11" spans="1:21">
      <c r="A11" s="3" t="s">
        <v>19</v>
      </c>
      <c r="B11" s="5">
        <v>2</v>
      </c>
      <c r="C11" s="5">
        <v>3</v>
      </c>
      <c r="D11" s="5">
        <v>1</v>
      </c>
      <c r="E11" s="5">
        <v>3</v>
      </c>
      <c r="F11" s="5">
        <v>1</v>
      </c>
      <c r="G11" s="5">
        <v>2</v>
      </c>
      <c r="H11" s="5">
        <v>2</v>
      </c>
      <c r="I11" s="5">
        <v>3</v>
      </c>
      <c r="J11" s="5">
        <v>4</v>
      </c>
      <c r="K11" s="5">
        <v>4</v>
      </c>
      <c r="L11" s="5">
        <v>1</v>
      </c>
      <c r="M11" s="5">
        <v>2</v>
      </c>
      <c r="N11" s="5">
        <v>1</v>
      </c>
      <c r="O11" s="5">
        <v>2</v>
      </c>
      <c r="P11" s="5">
        <v>1</v>
      </c>
      <c r="Q11" s="5">
        <v>2</v>
      </c>
      <c r="R11" s="5">
        <v>1</v>
      </c>
      <c r="S11" s="5">
        <v>2</v>
      </c>
      <c r="T11" s="5">
        <v>2</v>
      </c>
      <c r="U11" s="5">
        <v>3</v>
      </c>
    </row>
    <row r="13" spans="1:21" s="3" customFormat="1">
      <c r="A13" s="8" t="s">
        <v>24</v>
      </c>
      <c r="B13" s="5">
        <f>AVERAGE(B2:B11)</f>
        <v>2.9</v>
      </c>
      <c r="C13" s="5">
        <f t="shared" ref="C13:U13" si="0">AVERAGE(C2:C11)</f>
        <v>2.5</v>
      </c>
      <c r="D13" s="5">
        <f t="shared" si="0"/>
        <v>2.6</v>
      </c>
      <c r="E13" s="5">
        <f t="shared" si="0"/>
        <v>2.6</v>
      </c>
      <c r="F13" s="5">
        <f t="shared" si="0"/>
        <v>3.1</v>
      </c>
      <c r="G13" s="5">
        <f t="shared" si="0"/>
        <v>2.9</v>
      </c>
      <c r="H13" s="5">
        <f t="shared" si="0"/>
        <v>2.8</v>
      </c>
      <c r="I13" s="5">
        <f>AVERAGE(I2:I11)</f>
        <v>2.8</v>
      </c>
      <c r="J13" s="5">
        <f t="shared" si="0"/>
        <v>3.1</v>
      </c>
      <c r="K13" s="5">
        <f t="shared" si="0"/>
        <v>2.8</v>
      </c>
      <c r="L13" s="5">
        <f t="shared" si="0"/>
        <v>2.9</v>
      </c>
      <c r="M13" s="5">
        <f t="shared" si="0"/>
        <v>2.9</v>
      </c>
      <c r="N13" s="5">
        <f>AVERAGE(N2:N11)</f>
        <v>3</v>
      </c>
      <c r="O13" s="5">
        <f t="shared" si="0"/>
        <v>2.9</v>
      </c>
      <c r="P13" s="5">
        <f t="shared" si="0"/>
        <v>2.5</v>
      </c>
      <c r="Q13" s="5">
        <f t="shared" si="0"/>
        <v>2.6</v>
      </c>
      <c r="R13" s="5">
        <f>AVERAGE(R2:R11)</f>
        <v>2.6</v>
      </c>
      <c r="S13" s="5">
        <f t="shared" si="0"/>
        <v>2.6</v>
      </c>
      <c r="T13" s="5">
        <f t="shared" si="0"/>
        <v>2.9</v>
      </c>
      <c r="U13" s="5">
        <f t="shared" si="0"/>
        <v>3</v>
      </c>
    </row>
    <row r="14" spans="1:21">
      <c r="A14" s="8" t="s">
        <v>25</v>
      </c>
      <c r="B14" s="5">
        <f>AVERAGE(B13,D13,F13,H13,J13,L13,N13,P13,R13,T13)</f>
        <v>2.84</v>
      </c>
    </row>
    <row r="15" spans="1:21">
      <c r="A15" s="8" t="s">
        <v>26</v>
      </c>
      <c r="B15" s="5">
        <f>AVERAGE(C13,E13,G13,I13,K13,M13,O13,Q13,S13,U13)</f>
        <v>2.7600000000000002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NASA TLX</vt:lpstr>
      <vt:lpstr>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邱婕心</dc:creator>
  <cp:lastModifiedBy>邱婕心</cp:lastModifiedBy>
  <dcterms:created xsi:type="dcterms:W3CDTF">2026-03-31T13:15:06Z</dcterms:created>
  <dcterms:modified xsi:type="dcterms:W3CDTF">2026-03-31T21:47:23Z</dcterms:modified>
</cp:coreProperties>
</file>